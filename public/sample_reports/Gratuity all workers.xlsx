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<sst xmlns="http://schemas.openxmlformats.org/spreadsheetml/2006/main" uniqueCount="79" count="79">
  <si>
    <t>Gratuity</t>
  </si>
  <si>
    <t>Isaac</t>
  </si>
  <si>
    <t>months</t>
  </si>
  <si>
    <t>years</t>
  </si>
  <si>
    <t>salary</t>
  </si>
  <si>
    <t>Matate</t>
  </si>
  <si>
    <t>Salary</t>
  </si>
  <si>
    <t>Total months</t>
  </si>
  <si>
    <t>Rate %</t>
  </si>
  <si>
    <t>Moses chisale</t>
  </si>
  <si>
    <t>Isaac frackson</t>
  </si>
  <si>
    <t>Samson white</t>
  </si>
  <si>
    <t>Benjamin</t>
  </si>
  <si>
    <t>Lanjesi tambula</t>
  </si>
  <si>
    <t>Prisca mphasa</t>
  </si>
  <si>
    <t>Gratuity different salary</t>
  </si>
  <si>
    <t>Total Gratuity</t>
  </si>
  <si>
    <t>Salary+Gratuity</t>
  </si>
  <si>
    <t>charity chithila</t>
  </si>
  <si>
    <t>Charity chithila</t>
  </si>
  <si>
    <t>Samson</t>
  </si>
  <si>
    <t>Toal gratuity</t>
  </si>
  <si>
    <t>Salary + Gratuity</t>
  </si>
  <si>
    <t>GRATUITY</t>
  </si>
  <si>
    <r>
      <rPr>
        <sz val="11"/>
        <rFont val="Calibri"/>
      </rPr>
      <t>Department</t>
    </r>
  </si>
  <si>
    <r>
      <rPr>
        <sz val="11"/>
        <rFont val="Calibri"/>
      </rPr>
      <t>Name</t>
    </r>
  </si>
  <si>
    <r>
      <rPr>
        <sz val="11"/>
        <rFont val="Calibri"/>
      </rPr>
      <t>Administration</t>
    </r>
  </si>
  <si>
    <r>
      <rPr>
        <sz val="11"/>
        <rFont val="Calibri"/>
      </rPr>
      <t>Suzen Zidana</t>
    </r>
  </si>
  <si>
    <r>
      <rPr>
        <sz val="11"/>
        <rFont val="Calibri"/>
      </rPr>
      <t>Administration</t>
    </r>
  </si>
  <si>
    <r>
      <rPr>
        <sz val="11"/>
        <rFont val="Calibri"/>
      </rPr>
      <t>Mercy Sichone</t>
    </r>
  </si>
  <si>
    <r>
      <rPr>
        <sz val="11"/>
        <rFont val="Calibri"/>
      </rPr>
      <t>Administration</t>
    </r>
  </si>
  <si>
    <r>
      <rPr>
        <sz val="11"/>
        <rFont val="Calibri"/>
      </rPr>
      <t>Peter Khozi</t>
    </r>
  </si>
  <si>
    <r>
      <rPr>
        <sz val="11"/>
        <rFont val="Calibri"/>
      </rPr>
      <t>Guards</t>
    </r>
  </si>
  <si>
    <r>
      <rPr>
        <sz val="11"/>
        <rFont val="Calibri"/>
      </rPr>
      <t>Damiano Amusa</t>
    </r>
  </si>
  <si>
    <r>
      <rPr>
        <sz val="11"/>
        <rFont val="Calibri"/>
      </rPr>
      <t>Guards</t>
    </r>
  </si>
  <si>
    <r>
      <rPr>
        <sz val="11"/>
        <rFont val="Calibri"/>
      </rPr>
      <t>Fabiano Buleya</t>
    </r>
  </si>
  <si>
    <r>
      <rPr>
        <sz val="11"/>
        <rFont val="Calibri"/>
      </rPr>
      <t>Guards</t>
    </r>
  </si>
  <si>
    <r>
      <rPr>
        <sz val="11"/>
        <rFont val="Calibri"/>
      </rPr>
      <t>Simeon Benjamin</t>
    </r>
  </si>
  <si>
    <r>
      <rPr>
        <sz val="11"/>
        <rFont val="Calibri"/>
      </rPr>
      <t>House Mums</t>
    </r>
  </si>
  <si>
    <r>
      <rPr>
        <sz val="11"/>
        <rFont val="Calibri"/>
      </rPr>
      <t>Ireen Maonga</t>
    </r>
  </si>
  <si>
    <r>
      <rPr>
        <sz val="11"/>
        <rFont val="Calibri"/>
      </rPr>
      <t>House Mums</t>
    </r>
  </si>
  <si>
    <r>
      <rPr>
        <sz val="11"/>
        <rFont val="Calibri"/>
      </rPr>
      <t>Femia Mangani</t>
    </r>
  </si>
  <si>
    <r>
      <rPr>
        <sz val="11"/>
        <rFont val="Calibri"/>
      </rPr>
      <t>EY Supervisor</t>
    </r>
  </si>
  <si>
    <r>
      <rPr>
        <sz val="11"/>
        <rFont val="Calibri"/>
      </rPr>
      <t>Walunji Nyirongo</t>
    </r>
  </si>
  <si>
    <r>
      <rPr>
        <sz val="11"/>
        <rFont val="Calibri"/>
      </rPr>
      <t>Caregivers</t>
    </r>
  </si>
  <si>
    <r>
      <rPr>
        <sz val="11"/>
        <rFont val="Calibri"/>
      </rPr>
      <t>Agnes Ntchiramiro</t>
    </r>
  </si>
  <si>
    <r>
      <rPr>
        <sz val="11"/>
        <rFont val="Calibri"/>
      </rPr>
      <t>Caregivers</t>
    </r>
  </si>
  <si>
    <r>
      <rPr>
        <sz val="11"/>
        <rFont val="Calibri"/>
      </rPr>
      <t>Prisca Msampha</t>
    </r>
  </si>
  <si>
    <r>
      <rPr>
        <sz val="11"/>
        <rFont val="Calibri"/>
      </rPr>
      <t>Caregivers</t>
    </r>
  </si>
  <si>
    <r>
      <rPr>
        <sz val="11"/>
        <rFont val="Calibri"/>
      </rPr>
      <t>Beatrice Simbweje</t>
    </r>
  </si>
  <si>
    <r>
      <rPr>
        <sz val="11"/>
        <rFont val="Calibri"/>
      </rPr>
      <t>Caregivers</t>
    </r>
  </si>
  <si>
    <r>
      <rPr>
        <sz val="11"/>
        <rFont val="Calibri"/>
      </rPr>
      <t>Angella Munkhondia</t>
    </r>
  </si>
  <si>
    <r>
      <rPr>
        <sz val="11"/>
        <rFont val="Calibri"/>
      </rPr>
      <t>Ministry</t>
    </r>
  </si>
  <si>
    <r>
      <rPr>
        <sz val="11"/>
        <rFont val="Calibri"/>
      </rPr>
      <t>Luke Md'ala</t>
    </r>
  </si>
  <si>
    <r>
      <rPr>
        <sz val="11"/>
        <rFont val="Calibri"/>
      </rPr>
      <t>Ministry</t>
    </r>
  </si>
  <si>
    <r>
      <rPr>
        <sz val="11"/>
        <rFont val="Calibri"/>
      </rPr>
      <t>Wilfred Ng'omba</t>
    </r>
  </si>
  <si>
    <r>
      <rPr>
        <sz val="11"/>
        <rFont val="Calibri"/>
      </rPr>
      <t>Ground Workers</t>
    </r>
  </si>
  <si>
    <r>
      <rPr>
        <sz val="11"/>
        <rFont val="Calibri"/>
      </rPr>
      <t>Stanley Lameck</t>
    </r>
  </si>
  <si>
    <r>
      <rPr>
        <sz val="11"/>
        <rFont val="Calibri"/>
      </rPr>
      <t>Ground Workers</t>
    </r>
  </si>
  <si>
    <r>
      <rPr>
        <sz val="11"/>
        <rFont val="Calibri"/>
      </rPr>
      <t>Lascar Basanio</t>
    </r>
  </si>
  <si>
    <r>
      <rPr>
        <sz val="11"/>
        <rFont val="Calibri"/>
      </rPr>
      <t>Ground Workers</t>
    </r>
  </si>
  <si>
    <r>
      <rPr>
        <sz val="11"/>
        <rFont val="Calibri"/>
      </rPr>
      <t>Bwanali Lackson Ali</t>
    </r>
  </si>
  <si>
    <r>
      <rPr>
        <sz val="11"/>
        <rFont val="Calibri"/>
      </rPr>
      <t>Ground Workers</t>
    </r>
  </si>
  <si>
    <r>
      <rPr>
        <sz val="11"/>
        <rFont val="Calibri"/>
      </rPr>
      <t>Edison Banda</t>
    </r>
  </si>
  <si>
    <r>
      <rPr>
        <sz val="11"/>
        <rFont val="Calibri"/>
      </rPr>
      <t>Driver</t>
    </r>
  </si>
  <si>
    <r>
      <rPr>
        <sz val="11"/>
        <rFont val="Calibri"/>
      </rPr>
      <t>Sungeni Shabango</t>
    </r>
  </si>
  <si>
    <r>
      <rPr>
        <b/>
        <sz val="11"/>
        <rFont val="Calibri"/>
      </rPr>
      <t>Department</t>
    </r>
  </si>
  <si>
    <r>
      <rPr>
        <b/>
        <sz val="11"/>
        <rFont val="Calibri"/>
      </rPr>
      <t>Name</t>
    </r>
  </si>
  <si>
    <t>House Mums</t>
  </si>
  <si>
    <t>Caregiver</t>
  </si>
  <si>
    <t>mercy Chimenya</t>
  </si>
  <si>
    <t>Farm</t>
  </si>
  <si>
    <t>moses</t>
  </si>
  <si>
    <t>isaac</t>
  </si>
  <si>
    <t>Charity Chithila</t>
  </si>
  <si>
    <t>Walunji Nyirongo</t>
  </si>
  <si>
    <t>Fine</t>
  </si>
  <si>
    <t>Total</t>
  </si>
  <si>
    <t>Guard</t>
  </si>
</sst>
</file>

<file path=xl/styles.xml><?xml version="1.0" encoding="utf-8"?>
<styleSheet xmlns="http://schemas.openxmlformats.org/spreadsheetml/2006/main">
  <numFmts count="2">
    <numFmt numFmtId="0" formatCode="General"/>
    <numFmt numFmtId="43" formatCode="_-* #,##0.00_-;\-* #,##0.00_-;_-* &quot;-&quot;??_-;_-@_-"/>
  </numFmts>
  <fonts count="11">
    <font>
      <name val="Arial"/>
      <sz val="11"/>
    </font>
    <font>
      <name val="Arial"/>
      <sz val="11"/>
    </font>
    <font>
      <name val="Arial"/>
      <b/>
      <sz val="11"/>
    </font>
    <font>
      <name val="Arial"/>
      <sz val="11"/>
    </font>
    <font>
      <name val="Calibri"/>
      <b/>
      <sz val="11"/>
    </font>
    <font>
      <name val="Calibri"/>
      <sz val="11"/>
    </font>
    <font>
      <name val="Arial"/>
      <b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Border="1">
      <alignment vertical="center"/>
    </xf>
    <xf numFmtId="0" fontId="4" fillId="2" borderId="1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43" fontId="2" fillId="0" borderId="1" xfId="0" applyNumberFormat="1" applyFont="1" applyBorder="1">
      <alignment vertical="center"/>
    </xf>
    <xf numFmtId="43" fontId="1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43" fontId="3" fillId="0" borderId="1" xfId="0" applyNumberFormat="1" applyBorder="1">
      <alignment vertical="center"/>
    </xf>
    <xf numFmtId="0" fontId="5" fillId="2" borderId="1" xfId="0" applyNumberFormat="1" applyFont="1" applyFill="1" applyBorder="1" applyAlignment="1">
      <alignment horizontal="right" vertical="center"/>
    </xf>
    <xf numFmtId="0" fontId="3" fillId="0" borderId="2" xfId="0" applyBorder="1">
      <alignment vertical="center"/>
    </xf>
    <xf numFmtId="43" fontId="3" fillId="0" borderId="2" xfId="0" applyNumberFormat="1" applyBorder="1">
      <alignment vertical="center"/>
    </xf>
    <xf numFmtId="0" fontId="1" fillId="0" borderId="3" xfId="0" applyNumberFormat="1" applyFont="1" applyBorder="1">
      <alignment vertical="center"/>
    </xf>
    <xf numFmtId="43" fontId="6" fillId="0" borderId="4" xfId="0" applyNumberFormat="1" applyFont="1" applyBorder="1">
      <alignment vertical="center"/>
    </xf>
    <xf numFmtId="43" fontId="7" fillId="0" borderId="4" xfId="0" applyNumberFormat="1" applyFont="1" applyBorder="1">
      <alignment vertical="center"/>
    </xf>
    <xf numFmtId="0" fontId="8" fillId="0" borderId="4" xfId="0" applyNumberFormat="1" applyFont="1" applyBorder="1">
      <alignment vertical="center"/>
    </xf>
    <xf numFmtId="0" fontId="9" fillId="0" borderId="5" xfId="0" applyNumberFormat="1" applyFont="1" applyBorder="1">
      <alignment vertical="center"/>
    </xf>
    <xf numFmtId="0" fontId="10" fillId="0" borderId="4" xfId="0" applyNumberFormat="1" applyFont="1" applyBorder="1">
      <alignment vertical="center"/>
    </xf>
    <xf numFmtId="43" fontId="2" fillId="0" borderId="5" xfId="0" applyNumberFormat="1" applyFont="1" applyBorder="1">
      <alignment vertical="center"/>
    </xf>
    <xf numFmtId="43" fontId="2" fillId="0" borderId="5" xfId="0" applyNumberFormat="1" applyFont="1" applyBorder="1">
      <alignment vertical="center"/>
    </xf>
    <xf numFmtId="43" fontId="2" fillId="0" borderId="6" xfId="0" applyNumberFormat="1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35"/>
  <sheetViews>
    <sheetView tabSelected="1" workbookViewId="0" zoomScale="60">
      <selection activeCell="A24" sqref="A24:XFD24"/>
    </sheetView>
  </sheetViews>
  <sheetFormatPr defaultRowHeight="14.25" defaultColWidth="10"/>
  <cols>
    <col min="1" max="1" customWidth="1" width="17.996094" style="0"/>
    <col min="2" max="2" customWidth="1" width="15.996094" style="0"/>
    <col min="3" max="3" hidden="1" customWidth="1" width="15.5859375" style="0"/>
    <col min="4" max="4" hidden="1" customWidth="1" width="12.6328125" style="0"/>
    <col min="5" max="5" hidden="1" customWidth="1" width="13.332031" style="0"/>
    <col min="6" max="6" hidden="1" customWidth="1" width="12.546875" style="0"/>
    <col min="7" max="7" hidden="1" customWidth="1" bestFit="1" width="22.0" style="0"/>
    <col min="8" max="8" hidden="1" customWidth="1" width="12.332031" style="0"/>
    <col min="9" max="9" hidden="1" customWidth="1" width="16.273438" style="0"/>
    <col min="10" max="10" hidden="1" customWidth="1" width="9.183594" style="0"/>
    <col min="11" max="11" hidden="1" customWidth="1" bestFit="1" width="11.2734375" style="0"/>
    <col min="12" max="12" hidden="1" customWidth="1" bestFit="1" width="14.8359375" style="0"/>
    <col min="13" max="13" hidden="1" customWidth="1" bestFit="1" width="14.8359375" style="0"/>
    <col min="14" max="14" hidden="1" customWidth="1" bestFit="1" width="11.1640625" style="0"/>
    <col min="15" max="15" customWidth="1" bestFit="1" width="14.1640625" style="0"/>
  </cols>
  <sheetData>
    <row r="2" spans="8:8">
      <c r="A2" s="1" t="s">
        <v>23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2"/>
      <c r="N2" s="3"/>
      <c r="O2" s="3"/>
    </row>
    <row r="3" spans="8:8" ht="16.8">
      <c r="A3" s="4" t="s">
        <v>66</v>
      </c>
      <c r="B3" s="4" t="s">
        <v>67</v>
      </c>
      <c r="C3" s="2" t="s">
        <v>16</v>
      </c>
      <c r="D3" s="2" t="s">
        <v>6</v>
      </c>
      <c r="E3" s="2" t="s">
        <v>8</v>
      </c>
      <c r="F3" s="2" t="s">
        <v>7</v>
      </c>
      <c r="G3" s="1"/>
      <c r="H3" s="2" t="s">
        <v>16</v>
      </c>
      <c r="I3" s="2" t="s">
        <v>6</v>
      </c>
      <c r="J3" s="2" t="s">
        <v>8</v>
      </c>
      <c r="K3" s="2" t="s">
        <v>7</v>
      </c>
      <c r="L3" s="2" t="s">
        <v>21</v>
      </c>
      <c r="M3" s="2" t="s">
        <v>22</v>
      </c>
      <c r="N3" s="3" t="s">
        <v>76</v>
      </c>
      <c r="O3" s="3" t="s">
        <v>77</v>
      </c>
    </row>
    <row r="4" spans="8:8" ht="15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8:8" ht="16.8">
      <c r="A5" s="5" t="s">
        <v>28</v>
      </c>
      <c r="B5" s="5" t="s">
        <v>74</v>
      </c>
      <c r="C5" s="6">
        <f>SUM(D5*E5*F5)</f>
        <v>63750.0</v>
      </c>
      <c r="D5" s="7">
        <v>150000.0</v>
      </c>
      <c r="E5" s="8">
        <v>0.05</v>
      </c>
      <c r="F5" s="8">
        <v>8.5</v>
      </c>
      <c r="G5" s="8"/>
      <c r="H5" s="8"/>
      <c r="I5" s="8"/>
      <c r="J5" s="8"/>
      <c r="K5" s="8"/>
      <c r="L5" s="6">
        <f>SUM(C5)</f>
        <v>63750.0</v>
      </c>
      <c r="M5" s="6">
        <f>SUM(D5*0.5)+L5</f>
        <v>138750.0</v>
      </c>
      <c r="N5" s="9"/>
      <c r="O5" s="6">
        <f>SUM(M5-N5)</f>
        <v>138750.0</v>
      </c>
    </row>
    <row r="6" spans="8:8" ht="14.25">
      <c r="A6" s="5"/>
      <c r="B6" s="5"/>
      <c r="C6" s="3"/>
      <c r="D6" s="10"/>
      <c r="E6" s="3"/>
      <c r="F6" s="3"/>
      <c r="G6" s="3"/>
      <c r="H6" s="3"/>
      <c r="I6" s="3"/>
      <c r="J6" s="3"/>
      <c r="K6" s="3"/>
      <c r="L6" s="9"/>
      <c r="M6" s="9"/>
      <c r="N6" s="9"/>
      <c r="O6" s="6"/>
    </row>
    <row r="7" spans="8:8" ht="14.75">
      <c r="A7" s="5" t="s">
        <v>32</v>
      </c>
      <c r="B7" s="5" t="s">
        <v>33</v>
      </c>
      <c r="C7" s="3">
        <f>SUM(D7*E7*F7)</f>
        <v>576000.0</v>
      </c>
      <c r="D7" s="10">
        <v>120000.0</v>
      </c>
      <c r="E7" s="3">
        <v>0.05</v>
      </c>
      <c r="F7" s="3">
        <v>96.0</v>
      </c>
      <c r="G7" s="3"/>
      <c r="H7" s="3"/>
      <c r="I7" s="3"/>
      <c r="J7" s="3"/>
      <c r="K7" s="3"/>
      <c r="L7" s="9">
        <f>SUM(H7+C7)</f>
        <v>576000.0</v>
      </c>
      <c r="M7" s="9">
        <f>SUM(L7+D7)</f>
        <v>696000.0</v>
      </c>
      <c r="N7" s="9"/>
      <c r="O7" s="6">
        <f>SUM(M7-N7)</f>
        <v>696000.0</v>
      </c>
    </row>
    <row r="8" spans="8:8" ht="14.75">
      <c r="A8" s="5" t="s">
        <v>34</v>
      </c>
      <c r="B8" s="5" t="s">
        <v>35</v>
      </c>
      <c r="C8" s="3">
        <f>SUM(D8*E8*F8)</f>
        <v>576000.0</v>
      </c>
      <c r="D8" s="10">
        <v>120000.0</v>
      </c>
      <c r="E8" s="3">
        <v>0.05</v>
      </c>
      <c r="F8" s="3">
        <v>96.0</v>
      </c>
      <c r="G8" s="3"/>
      <c r="H8" s="3"/>
      <c r="I8" s="3"/>
      <c r="J8" s="3"/>
      <c r="K8" s="3"/>
      <c r="L8" s="9">
        <f>SUM(H8+C8)</f>
        <v>576000.0</v>
      </c>
      <c r="M8" s="9">
        <f>SUM(L8+D8)</f>
        <v>696000.0</v>
      </c>
      <c r="N8" s="9"/>
      <c r="O8" s="6">
        <f>SUM(M8-N8)</f>
        <v>696000.0</v>
      </c>
    </row>
    <row r="9" spans="8:8" ht="14.75">
      <c r="A9" s="5" t="s">
        <v>36</v>
      </c>
      <c r="B9" s="5" t="s">
        <v>37</v>
      </c>
      <c r="C9" s="3">
        <f>SUM(D9*E9*F9)</f>
        <v>575999.9999999999</v>
      </c>
      <c r="D9" s="10">
        <v>120000.0</v>
      </c>
      <c r="E9" s="3">
        <v>0.049999999999999996</v>
      </c>
      <c r="F9" s="3">
        <v>96.0</v>
      </c>
      <c r="G9" s="3"/>
      <c r="H9" s="3"/>
      <c r="I9" s="3"/>
      <c r="J9" s="3"/>
      <c r="K9" s="3"/>
      <c r="L9" s="9">
        <f>SUM(H9+C9)</f>
        <v>575999.9999999999</v>
      </c>
      <c r="M9" s="9">
        <f>SUM(L9+D9)</f>
        <v>695999.9999999999</v>
      </c>
      <c r="N9" s="9"/>
      <c r="O9" s="6">
        <f>SUM(M9-N9)</f>
        <v>695999.9999999999</v>
      </c>
    </row>
    <row r="10" spans="8:8" ht="14.75">
      <c r="A10" s="5" t="s">
        <v>38</v>
      </c>
      <c r="B10" s="5" t="s">
        <v>39</v>
      </c>
      <c r="C10" s="3">
        <f>SUM(D10*E10*F10)</f>
        <v>383999.99999999994</v>
      </c>
      <c r="D10" s="10">
        <v>80000.0</v>
      </c>
      <c r="E10" s="3">
        <v>0.049999999999999996</v>
      </c>
      <c r="F10" s="3">
        <v>96.0</v>
      </c>
      <c r="G10" s="3"/>
      <c r="H10" s="3"/>
      <c r="I10" s="3"/>
      <c r="J10" s="3"/>
      <c r="K10" s="3"/>
      <c r="L10" s="9">
        <f>SUM(H10+C10)</f>
        <v>383999.99999999994</v>
      </c>
      <c r="M10" s="9">
        <f>SUM(L10+D10)</f>
        <v>463999.99999999994</v>
      </c>
      <c r="N10" s="9"/>
      <c r="O10" s="6">
        <f>SUM(M10-N10)</f>
        <v>463999.99999999994</v>
      </c>
    </row>
    <row r="11" spans="8:8" ht="14.75">
      <c r="A11" s="5" t="s">
        <v>40</v>
      </c>
      <c r="B11" s="5" t="s">
        <v>41</v>
      </c>
      <c r="C11" s="3">
        <f>SUM(D11*E11*F11)</f>
        <v>383999.99999999994</v>
      </c>
      <c r="D11" s="10">
        <v>80000.0</v>
      </c>
      <c r="E11" s="3">
        <v>0.049999999999999996</v>
      </c>
      <c r="F11" s="3">
        <v>96.0</v>
      </c>
      <c r="G11" s="3"/>
      <c r="H11" s="3"/>
      <c r="I11" s="3"/>
      <c r="J11" s="3"/>
      <c r="K11" s="3"/>
      <c r="L11" s="9">
        <f>SUM(H11+C11)</f>
        <v>383999.99999999994</v>
      </c>
      <c r="M11" s="9">
        <f>SUM(L11+D11)</f>
        <v>463999.99999999994</v>
      </c>
      <c r="N11" s="9"/>
      <c r="O11" s="6">
        <f>SUM(M11-N11)</f>
        <v>463999.99999999994</v>
      </c>
    </row>
    <row r="12" spans="8:8" ht="14.75">
      <c r="A12" s="5" t="s">
        <v>42</v>
      </c>
      <c r="B12" s="5" t="s">
        <v>74</v>
      </c>
      <c r="C12" s="3">
        <f>SUM(D12*E12*F12)</f>
        <v>816000.0</v>
      </c>
      <c r="D12" s="10">
        <v>170000.0</v>
      </c>
      <c r="E12" s="3">
        <v>0.049999999999999996</v>
      </c>
      <c r="F12" s="3">
        <v>96.0</v>
      </c>
      <c r="G12" s="3"/>
      <c r="H12" s="3"/>
      <c r="I12" s="3"/>
      <c r="J12" s="3"/>
      <c r="K12" s="3"/>
      <c r="L12" s="9">
        <f>SUM(H12+C12)</f>
        <v>816000.0</v>
      </c>
      <c r="M12" s="9">
        <f>SUM(L12+D12)</f>
        <v>986000.0</v>
      </c>
      <c r="N12" s="9"/>
      <c r="O12" s="6">
        <f>SUM(M12-N12)</f>
        <v>986000.0</v>
      </c>
    </row>
    <row r="13" spans="8:8" ht="14.75">
      <c r="A13" s="5" t="s">
        <v>68</v>
      </c>
      <c r="B13" s="5" t="s">
        <v>45</v>
      </c>
      <c r="C13" s="3">
        <f>SUM(D13*E13*F13)</f>
        <v>575999.9999999999</v>
      </c>
      <c r="D13" s="10">
        <v>120000.0</v>
      </c>
      <c r="E13" s="3">
        <v>0.049999999999999996</v>
      </c>
      <c r="F13" s="3">
        <v>96.0</v>
      </c>
      <c r="G13" s="3"/>
      <c r="H13" s="3"/>
      <c r="I13" s="3"/>
      <c r="J13" s="3"/>
      <c r="K13" s="3"/>
      <c r="L13" s="9">
        <f>SUM(H13+C13)</f>
        <v>575999.9999999999</v>
      </c>
      <c r="M13" s="9">
        <f>SUM(L13+D13)</f>
        <v>695999.9999999999</v>
      </c>
      <c r="N13" s="9"/>
      <c r="O13" s="6">
        <f>SUM(M13-N13)</f>
        <v>695999.9999999999</v>
      </c>
    </row>
    <row r="14" spans="8:8" ht="14.75">
      <c r="A14" s="5" t="s">
        <v>46</v>
      </c>
      <c r="B14" s="5" t="s">
        <v>47</v>
      </c>
      <c r="C14" s="3">
        <f>SUM(D14*E14*F14)</f>
        <v>480000.0</v>
      </c>
      <c r="D14" s="10">
        <v>100000.0</v>
      </c>
      <c r="E14" s="3">
        <v>0.049999999999999996</v>
      </c>
      <c r="F14" s="3">
        <v>96.0</v>
      </c>
      <c r="G14" s="3"/>
      <c r="H14" s="3"/>
      <c r="I14" s="3"/>
      <c r="J14" s="3"/>
      <c r="K14" s="3"/>
      <c r="L14" s="9">
        <f>SUM(H14+C14)</f>
        <v>480000.0</v>
      </c>
      <c r="M14" s="9">
        <f>SUM(L14+D14)</f>
        <v>580000.0</v>
      </c>
      <c r="N14" s="9"/>
      <c r="O14" s="6">
        <f>SUM(M14-N14)</f>
        <v>580000.0</v>
      </c>
    </row>
    <row r="15" spans="8:8" ht="14.75">
      <c r="A15" s="5" t="s">
        <v>48</v>
      </c>
      <c r="B15" s="5" t="s">
        <v>49</v>
      </c>
      <c r="C15" s="3">
        <f>SUM(D15*E15*F15)</f>
        <v>480000.0</v>
      </c>
      <c r="D15" s="10">
        <v>100000.0</v>
      </c>
      <c r="E15" s="3">
        <v>0.049999999999999996</v>
      </c>
      <c r="F15" s="3">
        <v>96.0</v>
      </c>
      <c r="G15" s="3"/>
      <c r="H15" s="3"/>
      <c r="I15" s="3"/>
      <c r="J15" s="3"/>
      <c r="K15" s="3"/>
      <c r="L15" s="9">
        <f>SUM(H15+C15)</f>
        <v>480000.0</v>
      </c>
      <c r="M15" s="9">
        <f>SUM(L15+D15)</f>
        <v>580000.0</v>
      </c>
      <c r="N15" s="9"/>
      <c r="O15" s="6">
        <f>SUM(M15-N15)</f>
        <v>580000.0</v>
      </c>
    </row>
    <row r="16" spans="8:8" ht="14.75">
      <c r="A16" s="5" t="s">
        <v>50</v>
      </c>
      <c r="B16" s="5" t="s">
        <v>51</v>
      </c>
      <c r="C16" s="3">
        <f>SUM(D16*E16*F16)</f>
        <v>480000.0</v>
      </c>
      <c r="D16" s="10">
        <v>100000.0</v>
      </c>
      <c r="E16" s="3">
        <v>0.049999999999999996</v>
      </c>
      <c r="F16" s="3">
        <v>96.0</v>
      </c>
      <c r="G16" s="3"/>
      <c r="H16" s="3"/>
      <c r="I16" s="3"/>
      <c r="J16" s="3"/>
      <c r="K16" s="3"/>
      <c r="L16" s="9">
        <f>SUM(H16+C16)</f>
        <v>480000.0</v>
      </c>
      <c r="M16" s="9">
        <f>SUM(L16+D16)</f>
        <v>580000.0</v>
      </c>
      <c r="N16" s="9"/>
      <c r="O16" s="6">
        <f>SUM(M16-N16)</f>
        <v>580000.0</v>
      </c>
    </row>
    <row r="17" spans="8:8" ht="14.75" customFormat="1">
      <c r="A17" s="5" t="s">
        <v>69</v>
      </c>
      <c r="B17" s="5" t="s">
        <v>70</v>
      </c>
      <c r="C17" s="3">
        <f>SUM(D17*E17*F17)</f>
        <v>480000.0</v>
      </c>
      <c r="D17" s="10">
        <v>100000.0</v>
      </c>
      <c r="E17" s="3">
        <v>0.049999999999999996</v>
      </c>
      <c r="F17" s="3">
        <v>96.0</v>
      </c>
      <c r="G17" s="3"/>
      <c r="H17" s="3"/>
      <c r="I17" s="3"/>
      <c r="J17" s="3"/>
      <c r="K17" s="3"/>
      <c r="L17" s="9">
        <f>SUM(H17+C17)</f>
        <v>480000.0</v>
      </c>
      <c r="M17" s="9">
        <f>SUM(L17+D17)</f>
        <v>580000.0</v>
      </c>
      <c r="N17" s="9"/>
      <c r="O17" s="6">
        <f>SUM(M17-N17)</f>
        <v>580000.0</v>
      </c>
    </row>
    <row r="18" spans="8:8" ht="14.75">
      <c r="A18" s="5" t="s">
        <v>52</v>
      </c>
      <c r="B18" s="5" t="s">
        <v>53</v>
      </c>
      <c r="C18" s="3">
        <f>SUM(D18*E18*F18)</f>
        <v>480000.0</v>
      </c>
      <c r="D18" s="10">
        <v>100000.0</v>
      </c>
      <c r="E18" s="3">
        <v>0.049999999999999996</v>
      </c>
      <c r="F18" s="3">
        <v>96.0</v>
      </c>
      <c r="G18" s="3"/>
      <c r="H18" s="3"/>
      <c r="I18" s="3"/>
      <c r="J18" s="3"/>
      <c r="K18" s="3"/>
      <c r="L18" s="9">
        <f>SUM(H18+C18)</f>
        <v>480000.0</v>
      </c>
      <c r="M18" s="9">
        <f>SUM(L18+D18)</f>
        <v>580000.0</v>
      </c>
      <c r="N18" s="9"/>
      <c r="O18" s="6">
        <f>SUM(M18-N18)</f>
        <v>580000.0</v>
      </c>
    </row>
    <row r="19" spans="8:8" ht="14.75">
      <c r="A19" s="5" t="s">
        <v>54</v>
      </c>
      <c r="B19" s="5" t="s">
        <v>55</v>
      </c>
      <c r="C19" s="3">
        <f>SUM(D19*E19*F19)</f>
        <v>480000.0</v>
      </c>
      <c r="D19" s="10">
        <v>100000.0</v>
      </c>
      <c r="E19" s="3">
        <v>0.049999999999999996</v>
      </c>
      <c r="F19" s="3">
        <v>96.0</v>
      </c>
      <c r="G19" s="3"/>
      <c r="H19" s="3"/>
      <c r="I19" s="3"/>
      <c r="J19" s="3"/>
      <c r="K19" s="3"/>
      <c r="L19" s="9">
        <f>SUM(H19+C19)</f>
        <v>480000.0</v>
      </c>
      <c r="M19" s="9">
        <f>SUM(L19+D19)</f>
        <v>580000.0</v>
      </c>
      <c r="N19" s="9"/>
      <c r="O19" s="6">
        <f>SUM(M19-N19)</f>
        <v>580000.0</v>
      </c>
    </row>
    <row r="20" spans="8:8" ht="14.75">
      <c r="A20" s="5" t="s">
        <v>56</v>
      </c>
      <c r="B20" s="5" t="s">
        <v>57</v>
      </c>
      <c r="C20" s="3">
        <f>SUM(D20*E20*F20)</f>
        <v>575999.9999999999</v>
      </c>
      <c r="D20" s="10">
        <v>120000.0</v>
      </c>
      <c r="E20" s="3">
        <v>0.049999999999999996</v>
      </c>
      <c r="F20" s="3">
        <v>96.0</v>
      </c>
      <c r="G20" s="3"/>
      <c r="H20" s="3"/>
      <c r="I20" s="3"/>
      <c r="J20" s="3"/>
      <c r="K20" s="3"/>
      <c r="L20" s="9">
        <f>SUM(H20+C20)</f>
        <v>575999.9999999999</v>
      </c>
      <c r="M20" s="9">
        <f>SUM(L20+D20)</f>
        <v>695999.9999999999</v>
      </c>
      <c r="N20" s="9"/>
      <c r="O20" s="6">
        <f>SUM(M20-N20)</f>
        <v>695999.9999999999</v>
      </c>
    </row>
    <row r="21" spans="8:8" ht="14.75">
      <c r="A21" s="5" t="s">
        <v>58</v>
      </c>
      <c r="B21" s="5" t="s">
        <v>59</v>
      </c>
      <c r="C21" s="3">
        <f>SUM(D21*E21*F21)</f>
        <v>287999.99999999994</v>
      </c>
      <c r="D21" s="10">
        <v>120000.0</v>
      </c>
      <c r="E21" s="3">
        <v>0.049999999999999996</v>
      </c>
      <c r="F21" s="3">
        <v>48.0</v>
      </c>
      <c r="G21" s="3"/>
      <c r="H21" s="3"/>
      <c r="I21" s="3"/>
      <c r="J21" s="3"/>
      <c r="K21" s="3"/>
      <c r="L21" s="9">
        <f>SUM(H21+C21)</f>
        <v>287999.99999999994</v>
      </c>
      <c r="M21" s="9">
        <f>SUM(L21+D21)</f>
        <v>407999.99999999994</v>
      </c>
      <c r="N21" s="9"/>
      <c r="O21" s="6">
        <f>SUM(M21-N21)</f>
        <v>407999.99999999994</v>
      </c>
    </row>
    <row r="22" spans="8:8" ht="14.75">
      <c r="A22" s="5" t="s">
        <v>60</v>
      </c>
      <c r="B22" s="5" t="s">
        <v>61</v>
      </c>
      <c r="C22" s="3">
        <f>SUM(D22*E22*F22)</f>
        <v>191999.99999999997</v>
      </c>
      <c r="D22" s="10">
        <v>80000.0</v>
      </c>
      <c r="E22" s="3">
        <v>0.049999999999999996</v>
      </c>
      <c r="F22" s="3">
        <v>48.0</v>
      </c>
      <c r="G22" s="3"/>
      <c r="H22" s="3"/>
      <c r="I22" s="3"/>
      <c r="J22" s="3"/>
      <c r="K22" s="3"/>
      <c r="L22" s="9">
        <f>SUM(H22+C22)</f>
        <v>191999.99999999997</v>
      </c>
      <c r="M22" s="9">
        <f>SUM(L22+D22)</f>
        <v>272000.0</v>
      </c>
      <c r="N22" s="9"/>
      <c r="O22" s="6">
        <f>SUM(M22-N22)</f>
        <v>272000.0</v>
      </c>
    </row>
    <row r="23" spans="8:8" ht="14.75">
      <c r="A23" s="5" t="s">
        <v>62</v>
      </c>
      <c r="B23" s="5" t="s">
        <v>63</v>
      </c>
      <c r="C23" s="3">
        <f>SUM(D23*E23*F23)</f>
        <v>287999.99999999994</v>
      </c>
      <c r="D23" s="10">
        <v>120000.0</v>
      </c>
      <c r="E23" s="3">
        <v>0.049999999999999996</v>
      </c>
      <c r="F23" s="3">
        <v>48.0</v>
      </c>
      <c r="G23" s="3"/>
      <c r="H23" s="3"/>
      <c r="I23" s="3"/>
      <c r="J23" s="3"/>
      <c r="K23" s="3"/>
      <c r="L23" s="9">
        <f>SUM(H23+C23)</f>
        <v>287999.99999999994</v>
      </c>
      <c r="M23" s="9">
        <f>SUM(L23+D23)</f>
        <v>407999.99999999994</v>
      </c>
      <c r="N23" s="9"/>
      <c r="O23" s="6">
        <f>SUM(M23-N23)</f>
        <v>407999.99999999994</v>
      </c>
    </row>
    <row r="24" spans="8:8" ht="14.25">
      <c r="A24" s="5"/>
      <c r="B24" s="5"/>
      <c r="C24" s="3"/>
      <c r="D24" s="10"/>
      <c r="E24" s="3"/>
      <c r="F24" s="3"/>
      <c r="G24" s="3"/>
      <c r="H24" s="3"/>
      <c r="I24" s="3"/>
      <c r="J24" s="3"/>
      <c r="K24" s="3"/>
      <c r="L24" s="9"/>
      <c r="M24" s="9"/>
      <c r="N24" s="9"/>
      <c r="O24" s="6"/>
    </row>
    <row r="25" spans="8:8" ht="14.75">
      <c r="A25" s="3" t="s">
        <v>71</v>
      </c>
      <c r="B25" s="8" t="s">
        <v>9</v>
      </c>
      <c r="C25" s="6">
        <f>SUM(D25*E25*F25)</f>
        <v>76500.0</v>
      </c>
      <c r="D25" s="7">
        <v>170000.0</v>
      </c>
      <c r="E25" s="8">
        <v>0.05</v>
      </c>
      <c r="F25" s="8">
        <v>9.0</v>
      </c>
      <c r="G25" s="8" t="s">
        <v>9</v>
      </c>
      <c r="H25" s="6">
        <f>SUM(I25*J25*K25)</f>
        <v>120000.0</v>
      </c>
      <c r="I25" s="7">
        <v>120000.0</v>
      </c>
      <c r="J25" s="8">
        <v>0.05</v>
      </c>
      <c r="K25" s="8">
        <v>20.0</v>
      </c>
      <c r="L25" s="6">
        <f>SUM(H25,C25)</f>
        <v>196500.0</v>
      </c>
      <c r="M25" s="6">
        <f>SUM(L25,D25)</f>
        <v>366500.0</v>
      </c>
      <c r="N25" s="7">
        <v>60000.0</v>
      </c>
      <c r="O25" s="6">
        <f>SUM(M25-N25)</f>
        <v>306500.0</v>
      </c>
    </row>
    <row r="26" spans="8:8" ht="14.75">
      <c r="A26" s="3" t="s">
        <v>71</v>
      </c>
      <c r="B26" s="8" t="s">
        <v>10</v>
      </c>
      <c r="C26" s="6">
        <f>SUM(D26*E26*F26)</f>
        <v>72250.0</v>
      </c>
      <c r="D26" s="7">
        <v>170000.0</v>
      </c>
      <c r="E26" s="8">
        <v>0.05</v>
      </c>
      <c r="F26" s="8">
        <v>8.5</v>
      </c>
      <c r="G26" s="8" t="s">
        <v>10</v>
      </c>
      <c r="H26" s="6">
        <f>SUM(I26*J26*K26)</f>
        <v>120000.0</v>
      </c>
      <c r="I26" s="7">
        <v>120000.0</v>
      </c>
      <c r="J26" s="8">
        <v>0.05</v>
      </c>
      <c r="K26" s="8">
        <v>20.0</v>
      </c>
      <c r="L26" s="6">
        <f>SUM(H26,C26)</f>
        <v>192250.0</v>
      </c>
      <c r="M26" s="6">
        <f>SUM(D26*0.5)+L26</f>
        <v>277250.0</v>
      </c>
      <c r="N26" s="7">
        <v>70000.0</v>
      </c>
      <c r="O26" s="6">
        <f>SUM(M26-N26)</f>
        <v>207250.0</v>
      </c>
    </row>
    <row r="27" spans="8:8" ht="16.8">
      <c r="A27" s="3"/>
      <c r="B27" s="8" t="s">
        <v>14</v>
      </c>
      <c r="C27" s="6">
        <f>SUM(D27*E27*F27)</f>
        <v>29750.0</v>
      </c>
      <c r="D27" s="7">
        <v>70000.0</v>
      </c>
      <c r="E27" s="8">
        <v>0.05</v>
      </c>
      <c r="F27" s="8">
        <v>8.5</v>
      </c>
      <c r="G27" s="8"/>
      <c r="H27" s="8"/>
      <c r="I27" s="8"/>
      <c r="J27" s="8"/>
      <c r="K27" s="8"/>
      <c r="L27" s="6">
        <f>SUM(C27)</f>
        <v>29750.0</v>
      </c>
      <c r="M27" s="6">
        <f>SUM(D27)+L27</f>
        <v>99750.0</v>
      </c>
      <c r="N27" s="7">
        <v>60000.0</v>
      </c>
      <c r="O27" s="6">
        <f>SUM(M27-N27)</f>
        <v>39750.0</v>
      </c>
    </row>
    <row r="28" spans="8:8" ht="16.8">
      <c r="A28" s="3" t="s">
        <v>71</v>
      </c>
      <c r="B28" s="8" t="s">
        <v>20</v>
      </c>
      <c r="C28" s="6">
        <f>SUM(D28*E28*F28)</f>
        <v>54000.0</v>
      </c>
      <c r="D28" s="7">
        <v>120000.0</v>
      </c>
      <c r="E28" s="8">
        <v>0.05</v>
      </c>
      <c r="F28" s="8">
        <v>9.0</v>
      </c>
      <c r="G28" s="8"/>
      <c r="H28" s="8"/>
      <c r="I28" s="8"/>
      <c r="J28" s="8"/>
      <c r="K28" s="8"/>
      <c r="L28" s="6">
        <f>SUM(C28)</f>
        <v>54000.0</v>
      </c>
      <c r="M28" s="6">
        <f>SUM(L28,D28)</f>
        <v>174000.0</v>
      </c>
      <c r="N28" s="9"/>
      <c r="O28" s="6">
        <f>SUM(M28-N28)</f>
        <v>174000.0</v>
      </c>
    </row>
    <row r="29" spans="8:8" ht="16.8">
      <c r="A29" s="3" t="s">
        <v>71</v>
      </c>
      <c r="B29" s="3" t="s">
        <v>12</v>
      </c>
      <c r="C29" s="6">
        <f>SUM(D29*E29*F29)</f>
        <v>54000.0</v>
      </c>
      <c r="D29" s="7">
        <v>120000.0</v>
      </c>
      <c r="E29" s="8">
        <v>0.05</v>
      </c>
      <c r="F29" s="8">
        <v>9.0</v>
      </c>
      <c r="G29" s="8"/>
      <c r="H29" s="8"/>
      <c r="I29" s="8"/>
      <c r="J29" s="8"/>
      <c r="K29" s="8"/>
      <c r="L29" s="6">
        <f>SUM(C29)</f>
        <v>54000.0</v>
      </c>
      <c r="M29" s="6">
        <f>SUM(L29,D29)</f>
        <v>174000.0</v>
      </c>
      <c r="N29" s="9"/>
      <c r="O29" s="6">
        <f>SUM(M29-N29)</f>
        <v>174000.0</v>
      </c>
    </row>
    <row r="30" spans="8:8" ht="16.8">
      <c r="A30" s="11" t="s">
        <v>71</v>
      </c>
      <c r="B30" s="8" t="s">
        <v>13</v>
      </c>
      <c r="C30" s="6">
        <f>SUM(D30*E30*F30)</f>
        <v>42500.0</v>
      </c>
      <c r="D30" s="7">
        <v>100000.0</v>
      </c>
      <c r="E30" s="8">
        <v>0.05</v>
      </c>
      <c r="F30" s="8">
        <v>8.5</v>
      </c>
      <c r="G30" s="8"/>
      <c r="H30" s="8"/>
      <c r="I30" s="8"/>
      <c r="J30" s="8"/>
      <c r="K30" s="8"/>
      <c r="L30" s="6">
        <f>SUM(C30)</f>
        <v>42500.0</v>
      </c>
      <c r="M30" s="6">
        <f>SUM(D30*0.5)+L30</f>
        <v>92500.0</v>
      </c>
      <c r="N30" s="12"/>
      <c r="O30" s="6">
        <f>SUM(M30-N30)</f>
        <v>92500.0</v>
      </c>
    </row>
    <row r="31" spans="8:8" ht="16.8">
      <c r="A31" s="3" t="s">
        <v>78</v>
      </c>
      <c r="B31" s="13" t="s">
        <v>5</v>
      </c>
      <c r="C31" s="14">
        <f>SUM(D31*E31*F31)</f>
        <v>720000.0</v>
      </c>
      <c r="D31" s="15">
        <v>120000.0</v>
      </c>
      <c r="E31" s="16">
        <v>0.05</v>
      </c>
      <c r="F31" s="17">
        <v>120.0</v>
      </c>
      <c r="G31" s="18"/>
      <c r="H31" s="18"/>
      <c r="I31" s="18"/>
      <c r="J31" s="18"/>
      <c r="K31" s="18"/>
      <c r="L31" s="19">
        <f>SUM(C31)</f>
        <v>720000.0</v>
      </c>
      <c r="M31" s="20">
        <v>720000.0</v>
      </c>
      <c r="N31" s="9"/>
      <c r="O31" s="21">
        <f>SUM(M31-N31)</f>
        <v>720000.0</v>
      </c>
    </row>
    <row r="32" spans="8:8" ht="14.85"/>
    <row r="33" spans="8:8" ht="14.85"/>
    <row r="34" spans="8:8" ht="14.8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SM-A715F</dc:creator>
  <dcterms:created xsi:type="dcterms:W3CDTF">2026-03-15T18:36:00Z</dcterms:created>
  <dcterms:modified xsi:type="dcterms:W3CDTF">2026-04-02T12:30:23Z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629c393d41ad4777b7b180fbb8163d92</vt:lpwstr>
  </property>
</Properties>
</file>