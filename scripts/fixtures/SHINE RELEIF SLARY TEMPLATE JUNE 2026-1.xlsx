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457" windowHeight="5400"/>
  </bookViews>
  <sheets>
    <sheet name="PAYMEN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<sst xmlns="http://schemas.openxmlformats.org/spreadsheetml/2006/main" count="63" uniqueCount="62">
  <si>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BANK CREDIT</t>
  </si>
  <si>
    <t>March</t>
  </si>
  <si>
    <t>April</t>
  </si>
  <si>
    <t>Arrears</t>
  </si>
  <si>
    <t>May</t>
  </si>
  <si>
    <t>June</t>
  </si>
  <si>
    <t xml:space="preserve">JULY </t>
  </si>
  <si>
    <t>LOAN</t>
  </si>
  <si>
    <t>AUGUST</t>
  </si>
  <si>
    <t>SEPTMBER</t>
  </si>
  <si>
    <t>FARM</t>
  </si>
  <si>
    <t>Moses Yohane</t>
  </si>
  <si>
    <t>Mphatso Banda</t>
  </si>
  <si>
    <t>Thom Milikafu</t>
  </si>
  <si>
    <t>Limbani Fatuwero</t>
  </si>
  <si>
    <t xml:space="preserve">Alex </t>
  </si>
  <si>
    <t>MILL</t>
  </si>
  <si>
    <t>Chimwemwe Chagona</t>
  </si>
  <si>
    <t>Ketulo Nakusana</t>
  </si>
  <si>
    <t>Benard Frackson</t>
  </si>
  <si>
    <t>TEACHERS</t>
  </si>
  <si>
    <t>Maria Chipelesa</t>
  </si>
  <si>
    <t>Prisca Msampha</t>
  </si>
  <si>
    <t xml:space="preserve">Sarudzaihivy </t>
  </si>
  <si>
    <t>HOUSE MUMS</t>
  </si>
  <si>
    <t>Agness Nthilamiro</t>
  </si>
  <si>
    <t>Fenia Manegani</t>
  </si>
  <si>
    <t>Mercy</t>
  </si>
  <si>
    <t>Ireen</t>
  </si>
  <si>
    <t>DRIVER</t>
  </si>
  <si>
    <t>Sungeni Shabango</t>
  </si>
  <si>
    <t>MINISTRY</t>
  </si>
  <si>
    <t>Wlifred Ngomba</t>
  </si>
  <si>
    <t>Luke Mdala</t>
  </si>
  <si>
    <t>WATCHMEN</t>
  </si>
  <si>
    <t>Benito</t>
  </si>
  <si>
    <t>Stanley</t>
  </si>
  <si>
    <t>John</t>
  </si>
  <si>
    <t>Lemani</t>
  </si>
  <si>
    <t>Ashan Bonface</t>
  </si>
  <si>
    <t>Elaton</t>
  </si>
  <si>
    <t>Alick</t>
  </si>
  <si>
    <t>Chimtengo</t>
  </si>
  <si>
    <t>ADMISTRATION</t>
  </si>
  <si>
    <t>Suzen</t>
  </si>
  <si>
    <t>Hastings</t>
  </si>
  <si>
    <t>Temwa</t>
  </si>
  <si>
    <t>Khozi</t>
  </si>
  <si>
    <t>GRADUITY</t>
  </si>
  <si>
    <t>Simon Benjamin</t>
  </si>
  <si>
    <t>Samson White</t>
  </si>
  <si>
    <t>Lanjesi Tambula</t>
  </si>
  <si>
    <t>Moses Chisale</t>
  </si>
  <si>
    <t>Isaac Frackson</t>
  </si>
  <si>
    <t>Damiano Amusa</t>
  </si>
  <si>
    <t>Charity Chithula</t>
  </si>
  <si>
    <t>BLOCKS</t>
  </si>
  <si>
    <t>cost</t>
  </si>
  <si>
    <t>CEMENT BAGS</t>
  </si>
  <si>
    <t>QUARRY WHEELBARROW</t>
  </si>
  <si>
    <t>SAND WHEELBARROW</t>
  </si>
  <si>
    <t>LABOUR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</si>
</sst>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"/>
  </numFmts>
  <fonts count="22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</font>
    <font>
      <b/>
      <sz val="11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/>
    <xf numFmtId="3" fontId="0" fillId="0" borderId="0" xfId="0" applyNumberFormat="1" applyFont="1" applyAlignment="1"/>
    <xf numFmtId="0" fontId="1" fillId="2" borderId="0" xfId="0" applyFont="1" applyFill="1" applyBorder="1"/>
    <xf numFmtId="3" fontId="1" fillId="2" borderId="0" xfId="0" applyNumberFormat="1" applyFont="1" applyFill="1" applyBorder="1"/>
    <xf numFmtId="17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1000"/>
  <sheetViews>
    <sheetView tabSelected="1" zoomScale="57" zoomScaleNormal="57" topLeftCell="B25" workbookViewId="0">
      <selection activeCell="T42" sqref="T42"/>
    </sheetView>
  </sheetViews>
  <sheetFormatPr defaultColWidth="12.6333333333333" defaultRowHeight="15" customHeight="1"/>
  <cols>
    <col min="1" max="1" width="8.63333333333333" customWidth="1"/>
    <col min="2" max="2" width="18.75" customWidth="1"/>
    <col min="3" max="3" width="21.5" customWidth="1"/>
    <col min="4" max="4" width="10.6333333333333" customWidth="1"/>
    <col min="5" max="5" width="8.88333333333333" customWidth="1"/>
    <col min="6" max="6" width="11.5" customWidth="1"/>
    <col min="7" max="7" width="8.63333333333333" customWidth="1"/>
    <col min="8" max="8" width="8.88333333333333" customWidth="1"/>
    <col min="9" max="9" width="11.1333333333333" customWidth="1"/>
    <col min="10" max="10" width="9.88333333333333" customWidth="1"/>
    <col min="11" max="11" width="8.63333333333333" customWidth="1"/>
    <col min="12" max="12" width="12.75" customWidth="1"/>
    <col min="13" max="26" width="8.63333333333333" customWidth="1"/>
  </cols>
  <sheetData>
    <row r="1" ht="14.25" customHeight="1" spans="2:18">
      <c r="C1" s="1" t="s">
        <v>0</v>
      </c>
      <c r="D1" s="2">
        <v>2800000</v>
      </c>
      <c r="F1" s="2">
        <v>2800000</v>
      </c>
      <c r="H1" s="2">
        <v>4600000</v>
      </c>
      <c r="I1" s="2">
        <f>SUM(D1:H1)</f>
        <v>10200000</v>
      </c>
      <c r="J1" s="2">
        <v>2800000</v>
      </c>
    </row>
    <row r="2" ht="14.25" customHeight="1" spans="2:18">
      <c r="D2" s="3" t="s">
        <v>1</v>
      </c>
      <c r="E2" s="3"/>
      <c r="F2" s="3" t="s">
        <v>2</v>
      </c>
      <c r="G2" s="3"/>
      <c r="H2" s="3" t="s">
        <v>3</v>
      </c>
      <c r="J2" s="3" t="s">
        <v>4</v>
      </c>
      <c r="L2" s="3" t="s">
        <v>5</v>
      </c>
      <c r="N2" s="4" t="s">
        <v>6</v>
      </c>
      <c r="O2" t="s">
        <v>7</v>
      </c>
      <c r="P2" t="s">
        <v>8</v>
      </c>
      <c r="R2" t="s">
        <v>9</v>
      </c>
    </row>
    <row r="3" ht="14.25" customHeight="1" spans="2:18">
      <c r="B3" s="1" t="s">
        <v>10</v>
      </c>
      <c r="C3" s="1" t="s">
        <v>11</v>
      </c>
      <c r="D3" s="2"/>
      <c r="F3" s="2">
        <v>170000</v>
      </c>
      <c r="H3" s="2"/>
      <c r="J3" s="2">
        <v>170000</v>
      </c>
    </row>
    <row r="4" ht="14.25" customHeight="1" spans="2:18">
      <c r="C4" s="1" t="s">
        <v>12</v>
      </c>
      <c r="F4" s="2">
        <v>100000</v>
      </c>
      <c r="J4" s="2">
        <v>80000</v>
      </c>
      <c r="L4" s="2">
        <v>80000</v>
      </c>
      <c r="N4" s="5">
        <v>80000</v>
      </c>
      <c r="P4" s="5">
        <v>80000</v>
      </c>
      <c r="R4" s="5">
        <v>80000</v>
      </c>
    </row>
    <row r="5" ht="14.25" customHeight="1" spans="2:18">
      <c r="C5" s="1" t="s">
        <v>13</v>
      </c>
      <c r="F5" s="2">
        <v>100000</v>
      </c>
      <c r="J5" s="2">
        <v>80000</v>
      </c>
      <c r="L5" s="2">
        <v>80000</v>
      </c>
      <c r="N5" s="5">
        <v>80000</v>
      </c>
      <c r="P5" s="5">
        <v>80000</v>
      </c>
      <c r="R5" s="5">
        <v>80000</v>
      </c>
    </row>
    <row r="6" ht="14.25" customHeight="1" spans="2:18">
      <c r="C6" s="1" t="s">
        <v>14</v>
      </c>
      <c r="F6" s="2">
        <v>100000</v>
      </c>
      <c r="J6" s="2">
        <v>80000</v>
      </c>
      <c r="L6" s="2">
        <v>80000</v>
      </c>
      <c r="N6" s="5"/>
    </row>
    <row r="7" ht="14.25" customHeight="1" spans="2:18">
      <c r="C7" t="s">
        <v>15</v>
      </c>
      <c r="N7" s="5">
        <v>80000</v>
      </c>
    </row>
    <row r="8" ht="14.25" customHeight="1" spans="2:18">
      <c r="B8" s="1" t="s">
        <v>16</v>
      </c>
      <c r="C8" s="1" t="s">
        <v>17</v>
      </c>
      <c r="D8" s="2">
        <v>100000</v>
      </c>
      <c r="F8" s="2">
        <v>100000</v>
      </c>
      <c r="J8" s="2">
        <v>80000</v>
      </c>
      <c r="L8" s="2">
        <v>80000</v>
      </c>
      <c r="N8" s="5">
        <v>80000</v>
      </c>
      <c r="P8" s="5">
        <v>80000</v>
      </c>
      <c r="R8" s="5">
        <v>80000</v>
      </c>
    </row>
    <row r="9" ht="14.25" customHeight="1" spans="2:18">
      <c r="C9" s="1" t="s">
        <v>18</v>
      </c>
      <c r="D9" s="2">
        <v>100000</v>
      </c>
      <c r="F9" s="2">
        <v>100000</v>
      </c>
      <c r="J9" s="2">
        <v>80000</v>
      </c>
      <c r="L9" s="2">
        <v>80000</v>
      </c>
      <c r="N9" s="5">
        <v>80000</v>
      </c>
      <c r="P9" s="5">
        <v>80000</v>
      </c>
      <c r="R9" s="5">
        <v>80000</v>
      </c>
    </row>
    <row r="10" ht="14.25" customHeight="1" spans="2:18">
      <c r="C10" t="s">
        <v>19</v>
      </c>
      <c r="P10" s="5">
        <v>80000</v>
      </c>
      <c r="R10" s="5">
        <v>80000</v>
      </c>
    </row>
    <row r="11" ht="14.25" customHeight="1" spans="2:18">
      <c r="B11" s="1" t="s">
        <v>20</v>
      </c>
      <c r="C11" s="1" t="s">
        <v>21</v>
      </c>
      <c r="F11" s="2">
        <v>120000</v>
      </c>
      <c r="H11" s="2">
        <v>120000</v>
      </c>
      <c r="J11" s="2">
        <v>120000</v>
      </c>
      <c r="L11" s="2">
        <v>120000</v>
      </c>
      <c r="N11" s="5">
        <v>120000</v>
      </c>
      <c r="P11" s="5">
        <v>120000</v>
      </c>
      <c r="R11" s="5">
        <v>120000</v>
      </c>
    </row>
    <row r="12" ht="14.25" customHeight="1" spans="2:18">
      <c r="C12" s="1" t="s">
        <v>22</v>
      </c>
      <c r="F12" s="2">
        <v>80000</v>
      </c>
      <c r="H12" s="2">
        <v>80000</v>
      </c>
      <c r="J12" s="2">
        <v>80000</v>
      </c>
      <c r="L12" s="2">
        <v>80000</v>
      </c>
      <c r="N12" s="5"/>
      <c r="P12" s="5">
        <v>80000</v>
      </c>
      <c r="R12" s="5">
        <v>80000</v>
      </c>
    </row>
    <row r="13" ht="14.25" customHeight="1" spans="2:18">
      <c r="C13" t="s">
        <v>23</v>
      </c>
      <c r="N13" s="5">
        <v>80000</v>
      </c>
      <c r="P13" s="5">
        <v>80000</v>
      </c>
      <c r="R13" s="5">
        <v>80000</v>
      </c>
    </row>
    <row r="14" ht="14.25" customHeight="1" spans="2:18">
      <c r="B14" s="1" t="s">
        <v>24</v>
      </c>
      <c r="C14" s="1" t="s">
        <v>25</v>
      </c>
      <c r="F14" s="2">
        <v>80000</v>
      </c>
      <c r="H14" s="2">
        <v>80000</v>
      </c>
      <c r="J14" s="2">
        <v>80000</v>
      </c>
      <c r="L14" s="2">
        <v>80000</v>
      </c>
      <c r="N14" s="5">
        <v>80000</v>
      </c>
      <c r="P14" s="5">
        <v>80000</v>
      </c>
      <c r="R14" s="5">
        <v>80000</v>
      </c>
    </row>
    <row r="15" ht="14.25" customHeight="1" spans="2:18">
      <c r="C15" s="1" t="s">
        <v>26</v>
      </c>
      <c r="F15" s="2">
        <v>80000</v>
      </c>
      <c r="H15" s="2">
        <v>80000</v>
      </c>
      <c r="J15" s="2">
        <v>80000</v>
      </c>
      <c r="L15" s="2">
        <v>80000</v>
      </c>
      <c r="N15" s="5">
        <v>80000</v>
      </c>
      <c r="P15" s="5">
        <v>80000</v>
      </c>
      <c r="R15" s="5">
        <v>80000</v>
      </c>
    </row>
    <row r="16" ht="14.25" customHeight="1" spans="2:18">
      <c r="C16" s="6" t="s">
        <v>27</v>
      </c>
      <c r="D16" s="6"/>
      <c r="E16" s="6"/>
      <c r="F16" s="7">
        <v>80000</v>
      </c>
      <c r="H16" s="2"/>
      <c r="J16" s="2"/>
    </row>
    <row r="17" ht="14.25" customHeight="1" spans="2:18">
      <c r="C17" s="6" t="s">
        <v>28</v>
      </c>
      <c r="D17" s="6"/>
      <c r="E17" s="6"/>
      <c r="F17" s="7">
        <v>80000</v>
      </c>
      <c r="H17" s="2"/>
      <c r="J17" s="2"/>
    </row>
    <row r="18" ht="14.25" customHeight="1"/>
    <row r="19" ht="14.25" customHeight="1" spans="2:18">
      <c r="B19" s="1" t="s">
        <v>29</v>
      </c>
      <c r="C19" s="1" t="s">
        <v>30</v>
      </c>
      <c r="F19" s="2">
        <v>80000</v>
      </c>
      <c r="H19" s="2">
        <v>80000</v>
      </c>
      <c r="J19" s="2">
        <v>80000</v>
      </c>
      <c r="L19" s="2">
        <v>80000</v>
      </c>
      <c r="N19" s="5">
        <v>80000</v>
      </c>
      <c r="P19" s="5">
        <v>80000</v>
      </c>
      <c r="R19" s="5">
        <v>80000</v>
      </c>
    </row>
    <row r="20" ht="14.25" customHeight="1"/>
    <row r="21" ht="14.25" customHeight="1" spans="2:18">
      <c r="B21" s="1" t="s">
        <v>31</v>
      </c>
      <c r="C21" s="1" t="s">
        <v>32</v>
      </c>
      <c r="F21" s="2">
        <v>100000</v>
      </c>
      <c r="H21" s="2">
        <v>100000</v>
      </c>
      <c r="J21" s="2">
        <v>100000</v>
      </c>
    </row>
    <row r="22" ht="14.25" customHeight="1" spans="2:18">
      <c r="C22" s="1" t="s">
        <v>33</v>
      </c>
      <c r="F22" s="2">
        <v>100000</v>
      </c>
      <c r="H22" s="2">
        <v>100000</v>
      </c>
      <c r="J22" s="2">
        <v>100000</v>
      </c>
    </row>
    <row r="23" ht="14.25" customHeight="1" spans="2:18">
      <c r="F23" s="2"/>
      <c r="J23" s="2"/>
    </row>
    <row r="24" ht="14.25" customHeight="1" spans="2:18">
      <c r="B24" s="1" t="s">
        <v>34</v>
      </c>
      <c r="C24" s="1" t="s">
        <v>35</v>
      </c>
      <c r="D24" s="2">
        <v>120000</v>
      </c>
      <c r="F24" s="2">
        <v>120000</v>
      </c>
      <c r="J24" s="2">
        <v>120000</v>
      </c>
      <c r="L24" s="2">
        <v>120000</v>
      </c>
      <c r="N24" s="5">
        <v>120000</v>
      </c>
      <c r="P24" s="5">
        <v>120000</v>
      </c>
      <c r="Q24" s="5"/>
      <c r="R24" s="5">
        <v>120000</v>
      </c>
    </row>
    <row r="25" ht="14.25" customHeight="1" spans="2:18">
      <c r="C25" s="1" t="s">
        <v>36</v>
      </c>
      <c r="D25" s="2">
        <v>120000</v>
      </c>
      <c r="F25" s="2">
        <v>120000</v>
      </c>
      <c r="J25" s="2">
        <v>120000</v>
      </c>
      <c r="L25" s="2">
        <v>120000</v>
      </c>
      <c r="N25" s="5">
        <v>120000</v>
      </c>
      <c r="P25" s="5">
        <v>120000</v>
      </c>
      <c r="Q25" s="5"/>
    </row>
    <row r="26" ht="14.25" customHeight="1" spans="2:18">
      <c r="C26" s="1" t="s">
        <v>37</v>
      </c>
      <c r="D26" s="2">
        <v>100000</v>
      </c>
      <c r="F26" s="2">
        <v>100000</v>
      </c>
      <c r="J26" s="2">
        <v>100000</v>
      </c>
      <c r="L26" s="2">
        <v>100000</v>
      </c>
      <c r="N26" s="5">
        <v>100000</v>
      </c>
      <c r="P26" s="5">
        <v>100000</v>
      </c>
      <c r="Q26" s="5"/>
      <c r="R26" s="5">
        <v>100000</v>
      </c>
    </row>
    <row r="27" ht="14.25" customHeight="1" spans="2:18">
      <c r="C27" s="1" t="s">
        <v>38</v>
      </c>
      <c r="D27" s="2">
        <v>120000</v>
      </c>
      <c r="F27" s="2">
        <v>120000</v>
      </c>
      <c r="J27" s="2">
        <v>120000</v>
      </c>
      <c r="L27" s="2">
        <v>120000</v>
      </c>
      <c r="N27" s="5">
        <v>120000</v>
      </c>
      <c r="P27" s="5">
        <v>120000</v>
      </c>
      <c r="Q27" s="5"/>
    </row>
    <row r="28" ht="14.25" customHeight="1" spans="2:18">
      <c r="C28" s="1" t="s">
        <v>39</v>
      </c>
      <c r="D28" s="2">
        <v>120000</v>
      </c>
      <c r="F28" s="2">
        <v>120000</v>
      </c>
      <c r="J28" s="2">
        <v>120000</v>
      </c>
      <c r="L28" s="2">
        <v>120000</v>
      </c>
      <c r="N28" s="5">
        <v>120000</v>
      </c>
      <c r="P28" s="5">
        <v>120000</v>
      </c>
      <c r="R28" s="5">
        <v>120000</v>
      </c>
    </row>
    <row r="29" ht="14.25" customHeight="1" spans="2:18">
      <c r="C29" s="1" t="s">
        <v>40</v>
      </c>
      <c r="D29" s="2">
        <v>120000</v>
      </c>
      <c r="F29" s="2">
        <v>120000</v>
      </c>
      <c r="J29" s="2">
        <v>120000</v>
      </c>
      <c r="L29" s="2">
        <v>120000</v>
      </c>
      <c r="N29" s="5">
        <v>120000</v>
      </c>
      <c r="P29" s="5">
        <v>120000</v>
      </c>
      <c r="R29" s="5">
        <v>120000</v>
      </c>
    </row>
    <row r="30" ht="14.25" customHeight="1" spans="2:18">
      <c r="C30" s="1" t="s">
        <v>41</v>
      </c>
      <c r="D30" s="2">
        <v>80000</v>
      </c>
      <c r="F30" s="2">
        <v>80000</v>
      </c>
      <c r="J30" s="2">
        <v>80000</v>
      </c>
      <c r="L30" s="2">
        <v>80000</v>
      </c>
      <c r="N30" s="5">
        <v>80000</v>
      </c>
      <c r="P30" s="5">
        <v>80000</v>
      </c>
      <c r="R30" s="5">
        <v>80000</v>
      </c>
    </row>
    <row r="31" ht="14.25" customHeight="1" spans="2:18">
      <c r="C31" s="1" t="s">
        <v>42</v>
      </c>
      <c r="D31" s="2">
        <v>90000</v>
      </c>
      <c r="F31" s="2">
        <v>90000</v>
      </c>
      <c r="J31" s="2">
        <v>80000</v>
      </c>
      <c r="L31" s="2">
        <v>80000</v>
      </c>
      <c r="N31" s="5">
        <v>80000</v>
      </c>
      <c r="P31" s="5">
        <v>80000</v>
      </c>
      <c r="R31" s="5">
        <v>80000</v>
      </c>
    </row>
    <row r="32" ht="14.25" customHeight="1"/>
    <row r="33" ht="14.25" customHeight="1" spans="2:18">
      <c r="B33" s="1" t="s">
        <v>43</v>
      </c>
      <c r="C33" s="1" t="s">
        <v>44</v>
      </c>
      <c r="D33" s="2">
        <v>560000</v>
      </c>
      <c r="F33" s="2"/>
      <c r="I33" s="2">
        <v>560000</v>
      </c>
      <c r="J33" s="2">
        <v>560000</v>
      </c>
      <c r="L33" s="2">
        <v>560000</v>
      </c>
      <c r="N33" s="5">
        <v>560000</v>
      </c>
      <c r="P33" s="5">
        <v>560000</v>
      </c>
      <c r="R33" s="5">
        <v>560000</v>
      </c>
    </row>
    <row r="34" ht="14.25" customHeight="1" spans="2:18">
      <c r="C34" s="1" t="s">
        <v>45</v>
      </c>
      <c r="D34" s="2">
        <v>170000</v>
      </c>
      <c r="F34" s="2">
        <v>170000</v>
      </c>
      <c r="J34" s="2">
        <v>170000</v>
      </c>
      <c r="L34" s="2">
        <v>170000</v>
      </c>
      <c r="N34" s="5">
        <v>170000</v>
      </c>
      <c r="P34" s="5">
        <v>170000</v>
      </c>
      <c r="R34" s="5">
        <v>170000</v>
      </c>
    </row>
    <row r="35" ht="14.25" customHeight="1" spans="2:18">
      <c r="C35" s="1" t="s">
        <v>46</v>
      </c>
      <c r="F35" s="2">
        <v>170000</v>
      </c>
      <c r="H35" s="2">
        <v>170000</v>
      </c>
      <c r="J35" s="2">
        <v>170000</v>
      </c>
      <c r="L35" s="2">
        <v>170000</v>
      </c>
      <c r="N35" s="5">
        <v>170000</v>
      </c>
      <c r="P35" s="5">
        <v>170000</v>
      </c>
      <c r="R35" s="5">
        <v>170000</v>
      </c>
    </row>
    <row r="36" ht="14.25" customHeight="1" spans="2:18">
      <c r="C36" s="1" t="s">
        <v>47</v>
      </c>
      <c r="F36" s="2">
        <v>250000</v>
      </c>
      <c r="I36" s="2">
        <v>250000</v>
      </c>
      <c r="J36" s="2">
        <v>250000</v>
      </c>
      <c r="L36" s="2">
        <v>250000</v>
      </c>
      <c r="N36" s="5">
        <v>250000</v>
      </c>
      <c r="P36" s="5">
        <v>250000</v>
      </c>
      <c r="R36" s="5">
        <v>250000</v>
      </c>
    </row>
    <row r="37" ht="14.25" customHeight="1"/>
    <row r="38" ht="14.25" customHeight="1" spans="2:18">
      <c r="B38" s="1" t="s">
        <v>48</v>
      </c>
      <c r="C38" s="1" t="s">
        <v>49</v>
      </c>
      <c r="D38" s="2">
        <v>246000</v>
      </c>
    </row>
    <row r="39" ht="14.25" customHeight="1" spans="2:18">
      <c r="C39" s="1" t="s">
        <v>50</v>
      </c>
      <c r="D39" s="2">
        <v>246000</v>
      </c>
    </row>
    <row r="40" ht="14.25" customHeight="1" spans="2:18">
      <c r="C40" s="1" t="s">
        <v>22</v>
      </c>
      <c r="D40" s="2">
        <v>146500</v>
      </c>
    </row>
    <row r="41" ht="14.25" customHeight="1" spans="2:18">
      <c r="C41" s="1" t="s">
        <v>51</v>
      </c>
      <c r="D41" s="2">
        <v>176000</v>
      </c>
    </row>
    <row r="42" ht="14.25" customHeight="1" spans="2:18">
      <c r="C42" s="1" t="s">
        <v>52</v>
      </c>
      <c r="D42" s="2">
        <v>366000</v>
      </c>
    </row>
    <row r="43" ht="14.25" customHeight="1" spans="2:18">
      <c r="C43" s="1" t="s">
        <v>53</v>
      </c>
      <c r="D43" s="2">
        <v>366000</v>
      </c>
      <c r="H43" s="2">
        <v>260000</v>
      </c>
    </row>
    <row r="44" ht="14.25" customHeight="1" spans="2:18">
      <c r="C44" s="1" t="s">
        <v>54</v>
      </c>
      <c r="D44" s="2">
        <v>200000</v>
      </c>
      <c r="I44" s="2">
        <v>1244000</v>
      </c>
    </row>
    <row r="45" ht="14.25" customHeight="1" spans="2:18">
      <c r="C45" s="1" t="s">
        <v>55</v>
      </c>
      <c r="D45" s="2">
        <v>350000</v>
      </c>
    </row>
    <row r="46" ht="14.25" customHeight="1"/>
    <row r="47" ht="14.25" customHeight="1" spans="2:18">
      <c r="D47" s="2">
        <f>SUM(D3:D45)</f>
        <v>3896500</v>
      </c>
      <c r="F47" s="2">
        <f>SUM(F3:F45)</f>
        <v>2930000</v>
      </c>
      <c r="H47" s="2">
        <f>SUM(H3:H46)</f>
        <v>1070000</v>
      </c>
      <c r="J47" s="2">
        <f>SUM(J3:J46)</f>
        <v>3220000</v>
      </c>
      <c r="K47" s="2">
        <f>J34+J29+J25</f>
        <v>410000</v>
      </c>
      <c r="L47" s="8">
        <f>SUM(L3:L46)</f>
        <v>2850000</v>
      </c>
      <c r="N47" s="5">
        <v>2850000</v>
      </c>
      <c r="R47" s="5">
        <v>2590000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"/>
    </sheetView>
  </sheetViews>
  <sheetFormatPr defaultColWidth="12.6333333333333" defaultRowHeight="15" customHeight="1" outlineLevelCol="2"/>
  <cols>
    <col min="1" max="26" width="8.63333333333333" customWidth="1"/>
  </cols>
  <sheetData>
    <row r="1" ht="14.25" customHeight="1"/>
    <row r="2" ht="14.25" customHeight="1" spans="1:3">
      <c r="A2" s="1" t="s">
        <v>56</v>
      </c>
      <c r="B2" s="1">
        <v>30</v>
      </c>
      <c r="C2" s="1" t="s">
        <v>57</v>
      </c>
    </row>
    <row r="3" ht="14.25" customHeight="1" spans="1:3">
      <c r="A3" s="1" t="s">
        <v>58</v>
      </c>
      <c r="B3" s="1">
        <v>1</v>
      </c>
      <c r="C3" s="2">
        <v>37000</v>
      </c>
    </row>
    <row r="4" ht="14.25" customHeight="1" spans="1:3">
      <c r="A4" s="1" t="s">
        <v>59</v>
      </c>
      <c r="B4" s="1">
        <v>0.5</v>
      </c>
    </row>
    <row r="5" ht="14.25" customHeight="1" spans="1:3">
      <c r="A5" s="1" t="s">
        <v>60</v>
      </c>
      <c r="B5" s="1">
        <v>4</v>
      </c>
    </row>
    <row r="6" ht="14.25" customHeight="1" spans="1:3">
      <c r="A6" s="1" t="s">
        <v>61</v>
      </c>
      <c r="C6" s="2">
        <v>5000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PAYMENTS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Irvin</dc:creator>
  <cp:lastModifiedBy>Shine</cp:lastModifiedBy>
  <dcterms:created xsi:type="dcterms:W3CDTF">2026-04-19T18:12:00Z</dcterms:created>
  <dcterms:modified xsi:type="dcterms:W3CDTF">2026-08-31T10:09:20Z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E7272FC46F214941AAE03B0FB0ED577E_12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